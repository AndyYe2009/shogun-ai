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8A06055AE02E41ADB92CF0422D169D7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06500" cy="1511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8818E9D7B4F546B4A3B28067E442F01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70050" y="0"/>
          <a:ext cx="1143000" cy="122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FC3BEEEB21C644CF8B9DD185B557810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3200" y="0"/>
          <a:ext cx="1035050" cy="124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1DBF803DCA594584B5B13F15C7E77F4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22700" y="0"/>
          <a:ext cx="1181100" cy="122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0D4F4FFED17845AF974EE1C05296CCD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927600" y="0"/>
          <a:ext cx="1225550" cy="124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D44172517B8649D991EA66A7F1A84C7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108700" y="0"/>
          <a:ext cx="1104900" cy="118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96B37321ACAE4BD1A93B88967AC8714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194550" y="0"/>
          <a:ext cx="1123950" cy="111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690B235A569449038FC6D647FC5A0BE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248650" y="0"/>
          <a:ext cx="1320800" cy="118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3FA44D8125CA45579D45DA0B139CCEB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461500" y="0"/>
          <a:ext cx="113030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F4FB1DC5723D4E428FCC37947B1778C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591800" y="0"/>
          <a:ext cx="1181100" cy="1219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B7B83A1453AE4FBCB18BEFCD3260717B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709400" y="0"/>
          <a:ext cx="116840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025CA757491B44FDBE1A077DC3EA354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807950" y="0"/>
          <a:ext cx="1111250" cy="1219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189456D5E64E485BAB51F1FCB161164B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830300" y="0"/>
          <a:ext cx="1143000" cy="122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252798FA52A64D87BCA986D027B8FE2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865350" y="0"/>
          <a:ext cx="1143000" cy="122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CBC62BF29C224EF997F114507BA9314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932150" y="0"/>
          <a:ext cx="1073150" cy="1219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C876800F00EC4BA791AFA040482F45E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960850" y="0"/>
          <a:ext cx="114300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D698F4A845B340A4B800E3507BD7984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8040350" y="0"/>
          <a:ext cx="1225550" cy="122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66955259007D49F09AFA34841054DE6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050000" y="0"/>
          <a:ext cx="1130300" cy="114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D15EA4CC96440558DBF4AA674F31A7D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0085050" y="0"/>
          <a:ext cx="1187450" cy="122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E16B55DB73C4CEDA111CFA66C83B06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1170900" y="0"/>
          <a:ext cx="11620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1E8F50E05FE0447993F3135595F7E07B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2205950" y="0"/>
          <a:ext cx="1244600" cy="1301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06578DD4C2DB4A3C880F86E767898D5A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342600" y="0"/>
          <a:ext cx="1054100" cy="1181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43DF10C9B41E4C7F8EB9F3AB61C9123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4288750" y="0"/>
          <a:ext cx="11112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B879C6046FED45478360F09B65762A8A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5304750" y="0"/>
          <a:ext cx="1143000" cy="116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6EF5CEA5640449D8B42FC230010DF48A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6269950" y="0"/>
          <a:ext cx="1111250" cy="1162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76A760E7297844458B7C96B143B709E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9457650" y="0"/>
          <a:ext cx="1219200" cy="122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BAD589410E574E729BE671E96CCBCAF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7241500" y="0"/>
          <a:ext cx="1111250" cy="1149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5F04947A992944D9923DFBC3093E7C05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8403550" y="0"/>
          <a:ext cx="1130300" cy="125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2F1DF4FBB6D24DF38F955185A76F3B9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1889700" y="0"/>
          <a:ext cx="120650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F6F1D3D0D8B84171989FDADCE4AD6D2A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3096200" y="0"/>
          <a:ext cx="1143000" cy="1219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4634B7CA6CE04F11AA138B9FBD2A396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4309050" y="0"/>
          <a:ext cx="1149350" cy="1295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D77D97002EE34188854F579FFA9208D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0626050" y="0"/>
          <a:ext cx="1187450" cy="1301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2CBD2FF8ABDB4ED68B545E782107A9D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5547300" y="0"/>
          <a:ext cx="1206500" cy="122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A7DE28DA83D5490AB1DB486A9CF3945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6899850" y="635"/>
          <a:ext cx="1181100" cy="1263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031CE5ACF79C455197BBEAA4DC0CC33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8220650" y="19685"/>
          <a:ext cx="1092200" cy="1263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F340A5F01F234296BE523DE17F9DBED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9541450" y="57785"/>
          <a:ext cx="109220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57A221575D3A40299BBBB8E0512379AB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0824150" y="26035"/>
          <a:ext cx="1111250" cy="124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FB5F7334713B4819B1A9F478FA32A95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2030650" y="70485"/>
          <a:ext cx="11112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83609973970A489AAECDEF6A7903415D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3307000" y="19685"/>
          <a:ext cx="1181100" cy="124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F20DEE35F45B49519391ADFA07E4EE5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4519850" y="89535"/>
          <a:ext cx="116840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78926C1F20214BF6931D12AEBC5A4D82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45777150" y="64135"/>
          <a:ext cx="1181100" cy="1219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E6E264C8B0594E6BB84857C951E8CC9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7015400" y="102235"/>
          <a:ext cx="1130300" cy="1168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<sst xmlns="http://schemas.openxmlformats.org/spreadsheetml/2006/main" count="89" uniqueCount="87">
  <si>
    <t>图标</t>
  </si>
  <si>
    <t>技能名称</t>
  </si>
  <si>
    <t>武士刀</t>
  </si>
  <si>
    <t>金碎棒</t>
  </si>
  <si>
    <t>铁尺</t>
  </si>
  <si>
    <t>耐心之刃</t>
  </si>
  <si>
    <t>钩刃</t>
  </si>
  <si>
    <t>升龙拳</t>
  </si>
  <si>
    <t>棍棒</t>
  </si>
  <si>
    <t>背击</t>
  </si>
  <si>
    <t>旋风斩</t>
  </si>
  <si>
    <t>阴阳铁扇</t>
  </si>
  <si>
    <t>长枪</t>
  </si>
  <si>
    <t>暗影镰刀</t>
  </si>
  <si>
    <t>木薙刀</t>
  </si>
  <si>
    <t>地刺</t>
  </si>
  <si>
    <t>流星锤</t>
  </si>
  <si>
    <t>炽热彗星</t>
  </si>
  <si>
    <t>手里剑</t>
  </si>
  <si>
    <t>箭矢</t>
  </si>
  <si>
    <t>苦无</t>
  </si>
  <si>
    <t>一文钱</t>
  </si>
  <si>
    <t>十字弓</t>
  </si>
  <si>
    <t>抓钩</t>
  </si>
  <si>
    <t>气推功</t>
  </si>
  <si>
    <t>铁炮</t>
  </si>
  <si>
    <t>圆月轮</t>
  </si>
  <si>
    <t>闪电</t>
  </si>
  <si>
    <t>伤口撒盐</t>
  </si>
  <si>
    <t>陷阱</t>
  </si>
  <si>
    <t>荆棘</t>
  </si>
  <si>
    <t>前冲</t>
  </si>
  <si>
    <t>暗影前冲</t>
  </si>
  <si>
    <t>烟雾弹</t>
  </si>
  <si>
    <t>后冲</t>
  </si>
  <si>
    <t>暗影后冲</t>
  </si>
  <si>
    <t>后撤烟雾弹</t>
  </si>
  <si>
    <t>诅咒</t>
  </si>
  <si>
    <t>急转身</t>
  </si>
  <si>
    <t>招牌动作</t>
  </si>
  <si>
    <t>交叉换位</t>
  </si>
  <si>
    <t>冲刺</t>
  </si>
  <si>
    <t>原点对称</t>
  </si>
  <si>
    <t>镜像</t>
  </si>
  <si>
    <t>技能介绍</t>
  </si>
  <si>
    <t>攻击身前的地格</t>
  </si>
  <si>
    <t>攻击身前的地格
若敌人此回合要发动攻击，则造成双倍伤害</t>
  </si>
  <si>
    <t>攻击身前的地格
该行动块每停留在攻击队列中一回合，攻击伤害就增加一点</t>
  </si>
  <si>
    <t>攻击身前的地格
打出致命一击时，向前移动一格，然后再次发出攻击，不过伤害减少一点</t>
  </si>
  <si>
    <t>攻击身前的地格，并将目标推至最远端
若路径上有其他目标，则对其造成碰撞伤害</t>
  </si>
  <si>
    <t>攻击身前的地格
令目标转身</t>
  </si>
  <si>
    <t>攻击身后的地格</t>
  </si>
  <si>
    <t>攻击身前及身后的地格</t>
  </si>
  <si>
    <t>攻击身前及身后的地格，并将目标推至最远端
若路径上有其他的目标，则对其造成碰撞伤害</t>
  </si>
  <si>
    <t>攻击身前的2个地格
可穿透敌人造成伤害</t>
  </si>
  <si>
    <t>攻击前方2格距离的地格</t>
  </si>
  <si>
    <t>攻击前方的两个地格和后方的两个地格。可穿透敌人造成伤害
无法杀死目标，但能令其生命值最低降低到1点</t>
  </si>
  <si>
    <t>攻击前方和后方2格距离的地格</t>
  </si>
  <si>
    <t>攻击前方3个地块内的第一个目标
若成功击中目标，则弹回击中招式使用者身后的地格</t>
  </si>
  <si>
    <t>攻击前方3个地块内的第一个目标
打出致命一击时释放爆炸，对相邻地格上的单位造成两点伤害</t>
  </si>
  <si>
    <t>攻击前方的第一个目标</t>
  </si>
  <si>
    <t>掷出和攻击伤害数量相等的苦无
每把苦无造成1点伤害，攻击前方的第一个目标</t>
  </si>
  <si>
    <t>攻击前方的第一个目标
花费1枚金币</t>
  </si>
  <si>
    <t>发射穿透弓箭，攻击前方的头两个目标
使用后攻击值降为零，需要放在攻击队列中空发一次，方可恢复攻击力</t>
  </si>
  <si>
    <t>将前方第一个目标拉到身前地格</t>
  </si>
  <si>
    <t>攻击前方的第一个目标，并将目标推至最远端
若路径上有其他目标，则对其造成碰撞伤害</t>
  </si>
  <si>
    <t>攻击前方的第一个目标
攻击者和目标都后退1个地格，有机会造成碰撞伤害</t>
  </si>
  <si>
    <t>攻击前方及后方的第一个目标
每有一个目标死亡，就增加1点伤害。使用后重置伤害</t>
  </si>
  <si>
    <t>攻击前方距离最远的目标</t>
  </si>
  <si>
    <t>攻击所有生命值不满的目标</t>
  </si>
  <si>
    <t>在身前地格放置陷阱
目标踏上该地格时，就会触发陷阱</t>
  </si>
  <si>
    <t>在身前的地格放置生命值为1点的障碍物
障碍物相邻地格的敌人，只要攻击该障碍物，就会收到伤害
当前波次结束后，所有障碍物都会摧毁</t>
  </si>
  <si>
    <t>向前冲刺，攻击前方的第一个目标</t>
  </si>
  <si>
    <t>向前冲刺并穿过目标，停在目标后方的第一个空地格上
若无空地格，则此招无效</t>
  </si>
  <si>
    <t>和前方第一个目标交换位置</t>
  </si>
  <si>
    <t>向后冲刺，攻击后方的第一个目标</t>
  </si>
  <si>
    <t>向后冲刺并穿过目标，停在目标后方的第一个空地格上
若无空地格，则此招无效</t>
  </si>
  <si>
    <t>和后方的第一个目标交换位置</t>
  </si>
  <si>
    <t>受诅咒的目标下次被击中时，会收到双倍伤害
随心所欲：将行动块添加到攻击队列，也不会推进回合</t>
  </si>
  <si>
    <t>转身
攻击周围地格
随心所欲：将行动块添加到攻击队列，也不会推进回合</t>
  </si>
  <si>
    <t>发动该英雄的特殊技能
随心所欲：将行动块添加到攻击队列，也不会推进回合</t>
  </si>
  <si>
    <t>让身前及身后地格上的单位交换位置
随心所欲：将行动块添加到攻击队列，也不会推进回合</t>
  </si>
  <si>
    <t>向前冲刺到最远端
随心所欲：将行动块添加到攻击队列，也不会推进回合</t>
  </si>
  <si>
    <t>瞬移至场中央，若该地格上有目标，则与之交换位置
随心所欲：将行动块添加到攻击队列，也不会推进回合</t>
  </si>
  <si>
    <t>镜像反转招式使用者场上的位置
随心所欲：将行动块添加到攻击队列，也不会推进回合</t>
  </si>
  <si>
    <t>伤害</t>
  </si>
  <si>
    <t>冷却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</si>
</sst>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9"/>
  <sheetViews>
    <sheetView tabSelected="1" topLeftCell="AE1" workbookViewId="0">
      <selection activeCell="AQ5" sqref="AQ5"/>
    </sheetView>
  </sheetViews>
  <sheetFormatPr defaultColWidth="9" defaultRowHeight="14"/>
  <cols>
    <col min="2" max="2" width="14.9090909090909" customWidth="1"/>
    <col min="3" max="3" width="15.3636363636364" customWidth="1"/>
    <col min="4" max="4" width="15.4545454545455" customWidth="1"/>
    <col min="5" max="5" width="15.8181818181818" customWidth="1"/>
    <col min="6" max="6" width="16.9090909090909" customWidth="1"/>
    <col min="7" max="7" width="15.5454545454545" customWidth="1"/>
    <col min="8" max="8" width="15.0909090909091" customWidth="1"/>
    <col min="9" max="9" width="17.3636363636364" customWidth="1"/>
    <col min="10" max="10" width="16.1818181818182" customWidth="1"/>
    <col min="11" max="11" width="16" customWidth="1"/>
    <col min="12" max="12" width="15.7272727272727" customWidth="1"/>
    <col min="13" max="13" width="14.6363636363636" customWidth="1"/>
    <col min="14" max="14" width="14.8181818181818" customWidth="1"/>
    <col min="15" max="15" width="15.2727272727273" customWidth="1"/>
    <col min="16" max="16" width="14.7272727272727" customWidth="1"/>
    <col min="17" max="17" width="15.4545454545455" customWidth="1"/>
    <col min="18" max="18" width="14.4545454545455" customWidth="1"/>
    <col min="19" max="19" width="14.8181818181818" customWidth="1"/>
    <col min="20" max="20" width="15.5454545454545" customWidth="1"/>
    <col min="21" max="21" width="14.8181818181818" customWidth="1"/>
    <col min="22" max="22" width="16.2727272727273" customWidth="1"/>
    <col min="23" max="23" width="13.5454545454545" customWidth="1"/>
    <col min="24" max="24" width="14.5454545454545" customWidth="1"/>
    <col min="25" max="25" width="13.8181818181818" customWidth="1"/>
    <col min="26" max="26" width="13.9090909090909" customWidth="1"/>
    <col min="27" max="27" width="16.6363636363636" customWidth="1"/>
    <col min="28" max="28" width="15.0909090909091" customWidth="1"/>
    <col min="29" max="29" width="16.7272727272727" customWidth="1"/>
    <col min="30" max="30" width="18.0909090909091" customWidth="1"/>
    <col min="31" max="31" width="17.2727272727273" customWidth="1"/>
    <col min="32" max="32" width="17.3636363636364" customWidth="1"/>
    <col min="33" max="33" width="17.7272727272727" customWidth="1"/>
    <col min="34" max="34" width="17.4545454545455" customWidth="1"/>
    <col min="35" max="35" width="17.8181818181818" customWidth="1"/>
    <col min="36" max="36" width="18.4545454545455" customWidth="1"/>
    <col min="37" max="37" width="18.5454545454545" customWidth="1"/>
    <col min="38" max="38" width="17.8181818181818" customWidth="1"/>
    <col min="39" max="39" width="18.2727272727273" customWidth="1"/>
    <col min="40" max="41" width="17.6363636363636" customWidth="1"/>
    <col min="42" max="42" width="17.2727272727273" customWidth="1"/>
    <col min="43" max="43" width="17.4545454545455" customWidth="1"/>
  </cols>
  <sheetData>
    <row r="1" ht="104" spans="1:43">
      <c r="A1" s="1" t="s">
        <v>0</v>
      </c>
      <c r="B1" s="1" t="str">
        <f>_xlfn.DISPIMG("ID_8A06055AE02E41ADB92CF0422D169D75",1)</f>
        <v>=DISPIMG("ID_8A06055AE02E41ADB92CF0422D169D75",1)</v>
      </c>
      <c r="C1" s="1" t="str">
        <f>_xlfn.DISPIMG("ID_8818E9D7B4F546B4A3B28067E442F01E",1)</f>
        <v>=DISPIMG("ID_8818E9D7B4F546B4A3B28067E442F01E",1)</v>
      </c>
      <c r="D1" s="1" t="str">
        <f>_xlfn.DISPIMG("ID_FC3BEEEB21C644CF8B9DD185B5578101",1)</f>
        <v>=DISPIMG("ID_FC3BEEEB21C644CF8B9DD185B5578101",1)</v>
      </c>
      <c r="E1" s="1" t="str">
        <f>_xlfn.DISPIMG("ID_1DBF803DCA594584B5B13F15C7E77F4E",1)</f>
        <v>=DISPIMG("ID_1DBF803DCA594584B5B13F15C7E77F4E",1)</v>
      </c>
      <c r="F1" s="1" t="str">
        <f>_xlfn.DISPIMG("ID_0D4F4FFED17845AF974EE1C05296CCD3",1)</f>
        <v>=DISPIMG("ID_0D4F4FFED17845AF974EE1C05296CCD3",1)</v>
      </c>
      <c r="G1" s="1" t="str">
        <f>_xlfn.DISPIMG("ID_D44172517B8649D991EA66A7F1A84C7C",1)</f>
        <v>=DISPIMG("ID_D44172517B8649D991EA66A7F1A84C7C",1)</v>
      </c>
      <c r="H1" s="1" t="str">
        <f>_xlfn.DISPIMG("ID_96B37321ACAE4BD1A93B88967AC8714C",1)</f>
        <v>=DISPIMG("ID_96B37321ACAE4BD1A93B88967AC8714C",1)</v>
      </c>
      <c r="I1" s="1" t="str">
        <f>_xlfn.DISPIMG("ID_690B235A569449038FC6D647FC5A0BE8",1)</f>
        <v>=DISPIMG("ID_690B235A569449038FC6D647FC5A0BE8",1)</v>
      </c>
      <c r="J1" s="1" t="str">
        <f>_xlfn.DISPIMG("ID_3FA44D8125CA45579D45DA0B139CCEB7",1)</f>
        <v>=DISPIMG("ID_3FA44D8125CA45579D45DA0B139CCEB7",1)</v>
      </c>
      <c r="K1" s="1" t="str">
        <f>_xlfn.DISPIMG("ID_F4FB1DC5723D4E428FCC37947B1778C3",1)</f>
        <v>=DISPIMG("ID_F4FB1DC5723D4E428FCC37947B1778C3",1)</v>
      </c>
      <c r="L1" s="1" t="str">
        <f>_xlfn.DISPIMG("ID_B7B83A1453AE4FBCB18BEFCD3260717B",1)</f>
        <v>=DISPIMG("ID_B7B83A1453AE4FBCB18BEFCD3260717B",1)</v>
      </c>
      <c r="M1" s="1" t="str">
        <f>_xlfn.DISPIMG("ID_025CA757491B44FDBE1A077DC3EA354F",1)</f>
        <v>=DISPIMG("ID_025CA757491B44FDBE1A077DC3EA354F",1)</v>
      </c>
      <c r="N1" s="1" t="str">
        <f>_xlfn.DISPIMG("ID_189456D5E64E485BAB51F1FCB161164B",1)</f>
        <v>=DISPIMG("ID_189456D5E64E485BAB51F1FCB161164B",1)</v>
      </c>
      <c r="O1" s="1" t="str">
        <f>_xlfn.DISPIMG("ID_252798FA52A64D87BCA986D027B8FE26",1)</f>
        <v>=DISPIMG("ID_252798FA52A64D87BCA986D027B8FE26",1)</v>
      </c>
      <c r="P1" s="1" t="str">
        <f>_xlfn.DISPIMG("ID_CBC62BF29C224EF997F114507BA93144",1)</f>
        <v>=DISPIMG("ID_CBC62BF29C224EF997F114507BA93144",1)</v>
      </c>
      <c r="Q1" s="1" t="str">
        <f>_xlfn.DISPIMG("ID_C876800F00EC4BA791AFA040482F45EE",1)</f>
        <v>=DISPIMG("ID_C876800F00EC4BA791AFA040482F45EE",1)</v>
      </c>
      <c r="R1" s="1" t="str">
        <f>_xlfn.DISPIMG("ID_D698F4A845B340A4B800E3507BD7984E",1)</f>
        <v>=DISPIMG("ID_D698F4A845B340A4B800E3507BD7984E",1)</v>
      </c>
      <c r="S1" s="1" t="str">
        <f>_xlfn.DISPIMG("ID_66955259007D49F09AFA34841054DE65",1)</f>
        <v>=DISPIMG("ID_66955259007D49F09AFA34841054DE65",1)</v>
      </c>
      <c r="T1" s="1" t="str">
        <f>_xlfn.DISPIMG("ID_0D15EA4CC96440558DBF4AA674F31A7D",1)</f>
        <v>=DISPIMG("ID_0D15EA4CC96440558DBF4AA674F31A7D",1)</v>
      </c>
      <c r="U1" s="1" t="str">
        <f>_xlfn.DISPIMG("ID_BE16B55DB73C4CEDA111CFA66C83B069",1)</f>
        <v>=DISPIMG("ID_BE16B55DB73C4CEDA111CFA66C83B069",1)</v>
      </c>
      <c r="V1" s="1" t="str">
        <f>_xlfn.DISPIMG("ID_1E8F50E05FE0447993F3135595F7E07B",1)</f>
        <v>=DISPIMG("ID_1E8F50E05FE0447993F3135595F7E07B",1)</v>
      </c>
      <c r="W1" t="str">
        <f>_xlfn.DISPIMG("ID_06578DD4C2DB4A3C880F86E767898D5A",1)</f>
        <v>=DISPIMG("ID_06578DD4C2DB4A3C880F86E767898D5A",1)</v>
      </c>
      <c r="X1" t="str">
        <f>_xlfn.DISPIMG("ID_43DF10C9B41E4C7F8EB9F3AB61C9123B",1)</f>
        <v>=DISPIMG("ID_43DF10C9B41E4C7F8EB9F3AB61C9123B",1)</v>
      </c>
      <c r="Y1" t="str">
        <f>_xlfn.DISPIMG("ID_B879C6046FED45478360F09B65762A8A",1)</f>
        <v>=DISPIMG("ID_B879C6046FED45478360F09B65762A8A",1)</v>
      </c>
      <c r="Z1" t="str">
        <f>_xlfn.DISPIMG("ID_6EF5CEA5640449D8B42FC230010DF48A",1)</f>
        <v>=DISPIMG("ID_6EF5CEA5640449D8B42FC230010DF48A",1)</v>
      </c>
      <c r="AA1" t="str">
        <f>_xlfn.DISPIMG("ID_BAD589410E574E729BE671E96CCBCAF1",1)</f>
        <v>=DISPIMG("ID_BAD589410E574E729BE671E96CCBCAF1",1)</v>
      </c>
      <c r="AB1" t="str">
        <f>_xlfn.DISPIMG("ID_5F04947A992944D9923DFBC3093E7C05",1)</f>
        <v>=DISPIMG("ID_5F04947A992944D9923DFBC3093E7C05",1)</v>
      </c>
      <c r="AC1" t="str">
        <f>_xlfn.DISPIMG("ID_76A760E7297844458B7C96B143B709E0",1)</f>
        <v>=DISPIMG("ID_76A760E7297844458B7C96B143B709E0",1)</v>
      </c>
      <c r="AD1" t="str">
        <f>_xlfn.DISPIMG("ID_D77D97002EE34188854F579FFA9208D9",1)</f>
        <v>=DISPIMG("ID_D77D97002EE34188854F579FFA9208D9",1)</v>
      </c>
      <c r="AE1" t="str">
        <f>_xlfn.DISPIMG("ID_2F1DF4FBB6D24DF38F955185A76F3B90",1)</f>
        <v>=DISPIMG("ID_2F1DF4FBB6D24DF38F955185A76F3B90",1)</v>
      </c>
      <c r="AF1" t="str">
        <f>_xlfn.DISPIMG("ID_F6F1D3D0D8B84171989FDADCE4AD6D2A",1)</f>
        <v>=DISPIMG("ID_F6F1D3D0D8B84171989FDADCE4AD6D2A",1)</v>
      </c>
      <c r="AG1" t="str">
        <f>_xlfn.DISPIMG("ID_4634B7CA6CE04F11AA138B9FBD2A3962",1)</f>
        <v>=DISPIMG("ID_4634B7CA6CE04F11AA138B9FBD2A3962",1)</v>
      </c>
      <c r="AH1" t="str">
        <f>_xlfn.DISPIMG("ID_2CBD2FF8ABDB4ED68B545E782107A9D7",1)</f>
        <v>=DISPIMG("ID_2CBD2FF8ABDB4ED68B545E782107A9D7",1)</v>
      </c>
      <c r="AI1" t="str">
        <f>_xlfn.DISPIMG("ID_A7DE28DA83D5490AB1DB486A9CF39457",1)</f>
        <v>=DISPIMG("ID_A7DE28DA83D5490AB1DB486A9CF39457",1)</v>
      </c>
      <c r="AJ1" t="str">
        <f>_xlfn.DISPIMG("ID_031CE5ACF79C455197BBEAA4DC0CC330",1)</f>
        <v>=DISPIMG("ID_031CE5ACF79C455197BBEAA4DC0CC330",1)</v>
      </c>
      <c r="AK1" t="str">
        <f>_xlfn.DISPIMG("ID_F340A5F01F234296BE523DE17F9DBEDE",1)</f>
        <v>=DISPIMG("ID_F340A5F01F234296BE523DE17F9DBEDE",1)</v>
      </c>
      <c r="AL1" s="1" t="str">
        <f>_xlfn.DISPIMG("ID_57A221575D3A40299BBBB8E0512379AB",1)</f>
        <v>=DISPIMG("ID_57A221575D3A40299BBBB8E0512379AB",1)</v>
      </c>
      <c r="AM1" s="1" t="str">
        <f>_xlfn.DISPIMG("ID_FB5F7334713B4819B1A9F478FA32A958",1)</f>
        <v>=DISPIMG("ID_FB5F7334713B4819B1A9F478FA32A958",1)</v>
      </c>
      <c r="AN1" s="1" t="str">
        <f>_xlfn.DISPIMG("ID_83609973970A489AAECDEF6A7903415D",1)</f>
        <v>=DISPIMG("ID_83609973970A489AAECDEF6A7903415D",1)</v>
      </c>
      <c r="AO1" s="1" t="str">
        <f>_xlfn.DISPIMG("ID_F20DEE35F45B49519391ADFA07E4EE51",1)</f>
        <v>=DISPIMG("ID_F20DEE35F45B49519391ADFA07E4EE51",1)</v>
      </c>
      <c r="AP1" s="1" t="str">
        <f>_xlfn.DISPIMG("ID_78926C1F20214BF6931D12AEBC5A4D82",1)</f>
        <v>=DISPIMG("ID_78926C1F20214BF6931D12AEBC5A4D82",1)</v>
      </c>
      <c r="AQ1" s="1" t="str">
        <f>_xlfn.DISPIMG("ID_E6E264C8B0594E6BB84857C951E8CC97",1)</f>
        <v>=DISPIMG("ID_E6E264C8B0594E6BB84857C951E8CC97",1)</v>
      </c>
    </row>
    <row r="2" spans="1:4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</row>
    <row r="3" ht="140" spans="1:43">
      <c r="A3" s="1" t="s">
        <v>44</v>
      </c>
      <c r="B3" s="1" t="s">
        <v>45</v>
      </c>
      <c r="C3" s="1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1" t="s">
        <v>51</v>
      </c>
      <c r="J3" s="1" t="s">
        <v>52</v>
      </c>
      <c r="K3" s="2" t="s">
        <v>53</v>
      </c>
      <c r="L3" s="2" t="s">
        <v>54</v>
      </c>
      <c r="M3" s="1" t="s">
        <v>55</v>
      </c>
      <c r="N3" s="2" t="s">
        <v>56</v>
      </c>
      <c r="O3" s="1" t="s">
        <v>57</v>
      </c>
      <c r="P3" s="2" t="s">
        <v>58</v>
      </c>
      <c r="Q3" s="2" t="s">
        <v>59</v>
      </c>
      <c r="R3" s="1" t="s">
        <v>60</v>
      </c>
      <c r="S3" s="1" t="s">
        <v>60</v>
      </c>
      <c r="T3" s="2" t="s">
        <v>61</v>
      </c>
      <c r="U3" s="2" t="s">
        <v>62</v>
      </c>
      <c r="V3" s="2" t="s">
        <v>63</v>
      </c>
      <c r="W3" s="1" t="s">
        <v>64</v>
      </c>
      <c r="X3" s="2" t="s">
        <v>65</v>
      </c>
      <c r="Y3" s="2" t="s">
        <v>66</v>
      </c>
      <c r="Z3" s="2" t="s">
        <v>67</v>
      </c>
      <c r="AA3" s="1" t="s">
        <v>68</v>
      </c>
      <c r="AB3" s="1" t="s">
        <v>69</v>
      </c>
      <c r="AC3" s="2" t="s">
        <v>70</v>
      </c>
      <c r="AD3" s="2" t="s">
        <v>71</v>
      </c>
      <c r="AE3" s="1" t="s">
        <v>72</v>
      </c>
      <c r="AF3" s="2" t="s">
        <v>73</v>
      </c>
      <c r="AG3" s="1" t="s">
        <v>74</v>
      </c>
      <c r="AH3" s="1" t="s">
        <v>75</v>
      </c>
      <c r="AI3" s="2" t="s">
        <v>76</v>
      </c>
      <c r="AJ3" s="1" t="s">
        <v>77</v>
      </c>
      <c r="AK3" s="2" t="s">
        <v>78</v>
      </c>
      <c r="AL3" s="2" t="s">
        <v>79</v>
      </c>
      <c r="AM3" s="2" t="s">
        <v>80</v>
      </c>
      <c r="AN3" s="2" t="s">
        <v>81</v>
      </c>
      <c r="AO3" s="2" t="s">
        <v>82</v>
      </c>
      <c r="AP3" s="2" t="s">
        <v>83</v>
      </c>
      <c r="AQ3" s="2" t="s">
        <v>84</v>
      </c>
    </row>
    <row r="4" spans="1:43">
      <c r="A4" s="1" t="s">
        <v>85</v>
      </c>
      <c r="B4" s="1">
        <v>2</v>
      </c>
      <c r="C4" s="1">
        <v>4</v>
      </c>
      <c r="D4" s="1">
        <v>2</v>
      </c>
      <c r="E4" s="1">
        <v>0</v>
      </c>
      <c r="F4" s="1">
        <v>2</v>
      </c>
      <c r="G4" s="1">
        <v>1</v>
      </c>
      <c r="H4" s="1">
        <v>1</v>
      </c>
      <c r="I4" s="1">
        <v>3</v>
      </c>
      <c r="J4" s="1">
        <v>2</v>
      </c>
      <c r="K4" s="1">
        <v>1</v>
      </c>
      <c r="L4" s="1">
        <v>2</v>
      </c>
      <c r="M4" s="1">
        <v>3</v>
      </c>
      <c r="N4" s="1">
        <v>2</v>
      </c>
      <c r="O4" s="1">
        <v>2</v>
      </c>
      <c r="P4" s="1">
        <v>2</v>
      </c>
      <c r="Q4" s="1">
        <v>2</v>
      </c>
      <c r="R4" s="1">
        <v>1</v>
      </c>
      <c r="S4" s="1">
        <v>2</v>
      </c>
      <c r="T4" s="1">
        <v>2</v>
      </c>
      <c r="U4" s="1">
        <v>5</v>
      </c>
      <c r="V4" s="1">
        <v>3</v>
      </c>
      <c r="W4" s="1">
        <v>1</v>
      </c>
      <c r="X4" s="1">
        <v>0</v>
      </c>
      <c r="Y4" s="1">
        <v>4</v>
      </c>
      <c r="Z4" s="1">
        <v>0</v>
      </c>
      <c r="AA4" s="1">
        <v>2</v>
      </c>
      <c r="AB4" s="1">
        <v>1</v>
      </c>
      <c r="AC4" s="1">
        <v>3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>
      <c r="A5" s="1" t="s">
        <v>86</v>
      </c>
      <c r="B5" s="1">
        <v>0</v>
      </c>
      <c r="C5" s="1">
        <v>7</v>
      </c>
      <c r="D5" s="1">
        <v>5</v>
      </c>
      <c r="E5" s="1">
        <v>6</v>
      </c>
      <c r="F5" s="1">
        <v>5</v>
      </c>
      <c r="G5" s="1">
        <v>4</v>
      </c>
      <c r="H5" s="1">
        <v>5</v>
      </c>
      <c r="I5" s="1">
        <v>3</v>
      </c>
      <c r="J5" s="1">
        <v>3</v>
      </c>
      <c r="K5" s="1">
        <v>6</v>
      </c>
      <c r="L5" s="1">
        <v>5</v>
      </c>
      <c r="M5" s="1">
        <v>3</v>
      </c>
      <c r="N5" s="1">
        <v>5</v>
      </c>
      <c r="O5" s="1">
        <v>4</v>
      </c>
      <c r="P5" s="1">
        <v>5</v>
      </c>
      <c r="Q5" s="1">
        <v>4</v>
      </c>
      <c r="R5" s="1">
        <v>3</v>
      </c>
      <c r="S5" s="1">
        <v>5</v>
      </c>
      <c r="T5" s="1">
        <v>7</v>
      </c>
      <c r="U5" s="1">
        <v>7</v>
      </c>
      <c r="V5" s="1">
        <v>5</v>
      </c>
      <c r="W5" s="1">
        <v>4</v>
      </c>
      <c r="X5" s="1">
        <v>6</v>
      </c>
      <c r="Y5" s="1">
        <v>7</v>
      </c>
      <c r="Z5" s="1">
        <v>7</v>
      </c>
      <c r="AA5" s="1">
        <v>5</v>
      </c>
      <c r="AB5" s="1">
        <v>5</v>
      </c>
      <c r="AC5" s="1">
        <v>4</v>
      </c>
      <c r="AD5" s="1">
        <v>4</v>
      </c>
      <c r="AE5" s="1">
        <v>4</v>
      </c>
      <c r="AF5" s="1">
        <v>5</v>
      </c>
      <c r="AG5" s="1">
        <v>5</v>
      </c>
      <c r="AH5" s="1">
        <v>3</v>
      </c>
      <c r="AI5" s="1">
        <v>5</v>
      </c>
      <c r="AJ5" s="1">
        <v>5</v>
      </c>
      <c r="AK5" s="1">
        <v>7</v>
      </c>
      <c r="AL5" s="1">
        <v>7</v>
      </c>
      <c r="AM5" s="1">
        <v>5</v>
      </c>
      <c r="AN5" s="1">
        <v>7</v>
      </c>
      <c r="AO5" s="1">
        <v>6</v>
      </c>
      <c r="AP5" s="1">
        <v>6</v>
      </c>
      <c r="AQ5" s="1">
        <v>6</v>
      </c>
    </row>
    <row r="6" spans="1:4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4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4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4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4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4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4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4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4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4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4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叶吴睿轩</dc:creator>
  <cp:lastModifiedBy>Michael</cp:lastModifiedBy>
  <dcterms:created xsi:type="dcterms:W3CDTF">2023-05-12T11:15:00Z</dcterms:created>
  <dcterms:modified xsi:type="dcterms:W3CDTF">2026-07-29T02:27:35Z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C98F721F5A1145C6BC34900A9E073390_12</vt:lpwstr>
  </property>
  <property fmtid="{D5CDD505-2E9C-101B-9397-08002B2CF9AE}" pid="4" name="CalculationRule">
    <vt:i4>0</vt:i4>
  </property>
</Properties>
</file>